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Brasile" sheetId="1" state="visible" r:id="rId1"/>
  </sheets>
  <definedNames>
    <definedName name="_xlnm._FilterDatabase" localSheetId="0" hidden="1">'Brasile'!$A$2:$J$21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_ ;[Red]\-#,##0.00\ 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0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64" fontId="0" fillId="0" borderId="0" pivotButton="0" quotePrefix="0" xfId="0"/>
    <xf numFmtId="164" fontId="0" fillId="0" borderId="1" pivotButton="0" quotePrefix="0" xfId="0"/>
    <xf numFmtId="164" fontId="1" fillId="0" borderId="0" pivotButton="0" quotePrefix="0" xfId="0"/>
    <xf numFmtId="10" fontId="1" fillId="0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"/>
  <sheetViews>
    <sheetView tabSelected="1" workbookViewId="0">
      <selection activeCell="K21" sqref="K21"/>
    </sheetView>
  </sheetViews>
  <sheetFormatPr baseColWidth="8" defaultRowHeight="15"/>
  <cols>
    <col width="9.140625" customWidth="1" style="2" min="1" max="2"/>
    <col width="21.28515625" customWidth="1" style="2" min="3" max="3"/>
    <col width="11.42578125" customWidth="1" min="4" max="4"/>
    <col width="14.7109375" customWidth="1" min="5" max="5"/>
    <col width="26.28515625" customWidth="1" min="6" max="6"/>
    <col width="15.7109375" customWidth="1" min="7" max="7"/>
    <col width="16.7109375" customWidth="1" min="8" max="8"/>
    <col width="16.7109375" customWidth="1" style="6" min="9" max="9"/>
    <col width="16.7109375" customWidth="1" min="11" max="11"/>
    <col width="16.7109375" customWidth="1" style="6" min="12" max="12"/>
  </cols>
  <sheetData>
    <row r="1"/>
    <row r="2">
      <c r="A2" s="4" t="inlineStr">
        <is>
          <t>ANNO</t>
        </is>
      </c>
      <c r="B2" s="4" t="inlineStr">
        <is>
          <t>MESE</t>
        </is>
      </c>
      <c r="C2" s="4" t="inlineStr">
        <is>
          <t>HOTEL</t>
        </is>
      </c>
      <c r="D2" s="4" t="inlineStr">
        <is>
          <t>WORLD</t>
        </is>
      </c>
      <c r="E2" s="4" t="inlineStr">
        <is>
          <t>PAESE</t>
        </is>
      </c>
      <c r="F2" s="4" t="inlineStr">
        <is>
          <t>REGIONE</t>
        </is>
      </c>
      <c r="G2" s="4" t="inlineStr">
        <is>
          <t>PROVINCIA</t>
        </is>
      </c>
      <c r="H2" s="4" t="inlineStr">
        <is>
          <t>CITTA</t>
        </is>
      </c>
      <c r="I2" s="5" t="inlineStr">
        <is>
          <t>CLIENTI</t>
        </is>
      </c>
      <c r="J2" s="4" t="inlineStr">
        <is>
          <t>%</t>
        </is>
      </c>
      <c r="K2" s="4" t="inlineStr">
        <is>
          <t>PREOVENIENZA</t>
        </is>
      </c>
      <c r="L2" s="5" t="inlineStr">
        <is>
          <t>CLIENTI</t>
        </is>
      </c>
      <c r="M2" s="4" t="inlineStr">
        <is>
          <t>%</t>
        </is>
      </c>
    </row>
    <row r="3">
      <c r="A3" s="2" t="n">
        <v>2026</v>
      </c>
      <c r="B3" s="2" t="n">
        <v>7</v>
      </c>
      <c r="C3" s="2" t="inlineStr">
        <is>
          <t>SOMBRA RESORT</t>
        </is>
      </c>
      <c r="D3" t="inlineStr">
        <is>
          <t>WORLD</t>
        </is>
      </c>
      <c r="E3" t="inlineStr">
        <is>
          <t>BRASILE</t>
        </is>
      </c>
      <c r="F3" t="inlineStr">
        <is>
          <t>RIO GRANDE DO NORTE</t>
        </is>
      </c>
      <c r="G3" t="inlineStr">
        <is>
          <t>NATAL</t>
        </is>
      </c>
      <c r="H3" t="inlineStr">
        <is>
          <t>NATAL</t>
        </is>
      </c>
      <c r="I3" s="6" t="n">
        <v>100</v>
      </c>
      <c r="J3" s="3">
        <f>I3/$I$33</f>
        <v/>
      </c>
      <c r="K3" t="inlineStr">
        <is>
          <t>PRIVATO</t>
        </is>
      </c>
      <c r="L3" s="6" t="n">
        <v>100</v>
      </c>
      <c r="M3" s="3">
        <f>L3/$I$33</f>
        <v/>
      </c>
    </row>
    <row r="4">
      <c r="A4" s="2" t="n">
        <v>2026</v>
      </c>
      <c r="B4" s="2" t="n">
        <v>7</v>
      </c>
      <c r="C4" s="2" t="inlineStr">
        <is>
          <t>SOMBRA SPA</t>
        </is>
      </c>
      <c r="D4" t="inlineStr">
        <is>
          <t>WORLD</t>
        </is>
      </c>
      <c r="E4" t="inlineStr">
        <is>
          <t>BRASILE</t>
        </is>
      </c>
      <c r="F4" t="inlineStr">
        <is>
          <t>MINAS GERAIS</t>
        </is>
      </c>
      <c r="G4" t="inlineStr">
        <is>
          <t>BELO HORIZONTE</t>
        </is>
      </c>
      <c r="H4" t="inlineStr">
        <is>
          <t>BELO HORIZONTE</t>
        </is>
      </c>
      <c r="I4" s="6" t="n">
        <v>200</v>
      </c>
      <c r="J4" s="3">
        <f>I4/$I$33</f>
        <v/>
      </c>
      <c r="K4" t="inlineStr">
        <is>
          <t>PRIVATO</t>
        </is>
      </c>
      <c r="L4" s="6" t="n">
        <v>200</v>
      </c>
      <c r="M4" s="3">
        <f>L4/$I$33</f>
        <v/>
      </c>
    </row>
    <row r="5">
      <c r="A5" s="2" t="n">
        <v>2026</v>
      </c>
      <c r="B5" s="2" t="n">
        <v>8</v>
      </c>
      <c r="C5" s="2" t="inlineStr">
        <is>
          <t>SOMBRA HOTEL</t>
        </is>
      </c>
      <c r="D5" t="inlineStr">
        <is>
          <t>WORLD</t>
        </is>
      </c>
      <c r="E5" t="inlineStr">
        <is>
          <t>BRASILE</t>
        </is>
      </c>
      <c r="F5" t="inlineStr">
        <is>
          <t>SAO PAULO</t>
        </is>
      </c>
      <c r="G5" t="inlineStr">
        <is>
          <t>SAO PAULO</t>
        </is>
      </c>
      <c r="H5" t="inlineStr">
        <is>
          <t>SAN PAOLO</t>
        </is>
      </c>
      <c r="I5" s="6" t="n">
        <v>300</v>
      </c>
      <c r="J5" s="3">
        <f>I5/$I$33</f>
        <v/>
      </c>
      <c r="K5" t="inlineStr">
        <is>
          <t>PRIVATO</t>
        </is>
      </c>
      <c r="L5" s="6" t="n">
        <v>300</v>
      </c>
      <c r="M5" s="3">
        <f>L5/$I$33</f>
        <v/>
      </c>
    </row>
    <row r="6">
      <c r="A6" s="2" t="n">
        <v>2026</v>
      </c>
      <c r="B6" s="2" t="n">
        <v>8</v>
      </c>
      <c r="C6" s="2" t="inlineStr">
        <is>
          <t>SOMBRA VILLAS</t>
        </is>
      </c>
      <c r="D6" t="inlineStr">
        <is>
          <t>WORLD</t>
        </is>
      </c>
      <c r="E6" t="inlineStr">
        <is>
          <t>BRASILE</t>
        </is>
      </c>
      <c r="F6" t="inlineStr">
        <is>
          <t>RIO GRANDE DO SUL</t>
        </is>
      </c>
      <c r="G6" t="inlineStr">
        <is>
          <t>PORTO ALEGRE</t>
        </is>
      </c>
      <c r="H6" t="inlineStr">
        <is>
          <t>PORTO ALEGRE</t>
        </is>
      </c>
      <c r="I6" s="6" t="n">
        <v>200</v>
      </c>
      <c r="J6" s="3">
        <f>I6/$I$33</f>
        <v/>
      </c>
      <c r="K6" t="inlineStr">
        <is>
          <t>PRIVATO</t>
        </is>
      </c>
      <c r="L6" s="6" t="n">
        <v>200</v>
      </c>
      <c r="M6" s="3">
        <f>L6/$I$33</f>
        <v/>
      </c>
    </row>
    <row r="7">
      <c r="A7" s="2" t="n">
        <v>2026</v>
      </c>
      <c r="B7" s="2" t="n">
        <v>7</v>
      </c>
      <c r="C7" s="2" t="inlineStr">
        <is>
          <t>SOMBRA RESORT</t>
        </is>
      </c>
      <c r="D7" t="inlineStr">
        <is>
          <t>WORLD</t>
        </is>
      </c>
      <c r="E7" t="inlineStr">
        <is>
          <t>ITALIA</t>
        </is>
      </c>
      <c r="F7" t="inlineStr">
        <is>
          <t>VENETO</t>
        </is>
      </c>
      <c r="G7" t="inlineStr">
        <is>
          <t>VENEZIA</t>
        </is>
      </c>
      <c r="H7" t="inlineStr">
        <is>
          <t>VENEZIA</t>
        </is>
      </c>
      <c r="I7" s="6" t="n">
        <v>100</v>
      </c>
      <c r="J7" s="3">
        <f>I7/$I$33</f>
        <v/>
      </c>
      <c r="K7" t="inlineStr">
        <is>
          <t>BOOKING</t>
        </is>
      </c>
      <c r="L7" s="6" t="n">
        <v>100</v>
      </c>
      <c r="M7" s="3">
        <f>L7/$I$33</f>
        <v/>
      </c>
    </row>
    <row r="8">
      <c r="A8" s="2" t="n">
        <v>2026</v>
      </c>
      <c r="B8" s="2" t="n">
        <v>7</v>
      </c>
      <c r="C8" s="2" t="inlineStr">
        <is>
          <t>SOMBRA SPA</t>
        </is>
      </c>
      <c r="D8" t="inlineStr">
        <is>
          <t>WORLD</t>
        </is>
      </c>
      <c r="E8" t="inlineStr">
        <is>
          <t>ITALIA</t>
        </is>
      </c>
      <c r="F8" t="inlineStr">
        <is>
          <t>LOMBARDIA</t>
        </is>
      </c>
      <c r="G8" t="inlineStr">
        <is>
          <t>MILANO</t>
        </is>
      </c>
      <c r="H8" t="inlineStr">
        <is>
          <t>MILANO</t>
        </is>
      </c>
      <c r="I8" s="6" t="n">
        <v>200</v>
      </c>
      <c r="J8" s="3">
        <f>I8/$I$33</f>
        <v/>
      </c>
      <c r="K8" t="inlineStr">
        <is>
          <t>BOOKING</t>
        </is>
      </c>
      <c r="L8" s="6" t="n">
        <v>200</v>
      </c>
      <c r="M8" s="3">
        <f>L8/$I$33</f>
        <v/>
      </c>
    </row>
    <row r="9">
      <c r="A9" s="2" t="n">
        <v>2026</v>
      </c>
      <c r="B9" s="2" t="n">
        <v>8</v>
      </c>
      <c r="C9" s="2" t="inlineStr">
        <is>
          <t>SOMBRA HOTEL</t>
        </is>
      </c>
      <c r="D9" t="inlineStr">
        <is>
          <t>WORLD</t>
        </is>
      </c>
      <c r="E9" t="inlineStr">
        <is>
          <t>ITALIA</t>
        </is>
      </c>
      <c r="F9" t="inlineStr">
        <is>
          <t>TOSCANA</t>
        </is>
      </c>
      <c r="G9" t="inlineStr">
        <is>
          <t>FIRENZE</t>
        </is>
      </c>
      <c r="H9" t="inlineStr">
        <is>
          <t>FIRENZE</t>
        </is>
      </c>
      <c r="I9" s="6" t="n">
        <v>300</v>
      </c>
      <c r="J9" s="3">
        <f>I9/$I$33</f>
        <v/>
      </c>
      <c r="K9" t="inlineStr">
        <is>
          <t>BOOKING</t>
        </is>
      </c>
      <c r="L9" s="6" t="n">
        <v>300</v>
      </c>
      <c r="M9" s="3">
        <f>L9/$I$33</f>
        <v/>
      </c>
    </row>
    <row r="10">
      <c r="A10" s="2" t="n">
        <v>2026</v>
      </c>
      <c r="B10" s="2" t="n">
        <v>8</v>
      </c>
      <c r="C10" s="2" t="inlineStr">
        <is>
          <t>SOMBRA VILLAS</t>
        </is>
      </c>
      <c r="D10" t="inlineStr">
        <is>
          <t>WORLD</t>
        </is>
      </c>
      <c r="E10" t="inlineStr">
        <is>
          <t>ITALIA</t>
        </is>
      </c>
      <c r="F10" t="inlineStr">
        <is>
          <t>EMILIA ROMAGNA</t>
        </is>
      </c>
      <c r="G10" t="inlineStr">
        <is>
          <t>BOLOGNA</t>
        </is>
      </c>
      <c r="H10" t="inlineStr">
        <is>
          <t>BOLOGNA</t>
        </is>
      </c>
      <c r="I10" s="6" t="n">
        <v>200</v>
      </c>
      <c r="J10" s="3">
        <f>I10/$I$33</f>
        <v/>
      </c>
      <c r="K10" t="inlineStr">
        <is>
          <t>EXPEDIA</t>
        </is>
      </c>
      <c r="L10" s="6" t="n">
        <v>200</v>
      </c>
      <c r="M10" s="3">
        <f>L10/$I$33</f>
        <v/>
      </c>
    </row>
    <row r="11">
      <c r="A11" s="2" t="n">
        <v>2026</v>
      </c>
      <c r="B11" s="2" t="n">
        <v>8</v>
      </c>
      <c r="C11" s="2" t="inlineStr">
        <is>
          <t>SOMBRA RESORT</t>
        </is>
      </c>
      <c r="D11" t="inlineStr">
        <is>
          <t>WORLD</t>
        </is>
      </c>
      <c r="E11" t="inlineStr">
        <is>
          <t>ITALIA</t>
        </is>
      </c>
      <c r="F11" t="inlineStr">
        <is>
          <t>CALABRIA</t>
        </is>
      </c>
      <c r="G11" t="inlineStr">
        <is>
          <t>REGGIO CALABRIA</t>
        </is>
      </c>
      <c r="H11" t="inlineStr">
        <is>
          <t>REGGIO CALABRIA</t>
        </is>
      </c>
      <c r="I11" s="6" t="n">
        <v>100</v>
      </c>
      <c r="J11" s="3">
        <f>I11/$I$33</f>
        <v/>
      </c>
      <c r="K11" t="inlineStr">
        <is>
          <t>BOOKING</t>
        </is>
      </c>
      <c r="L11" s="6" t="n">
        <v>100</v>
      </c>
      <c r="M11" s="3">
        <f>L11/$I$33</f>
        <v/>
      </c>
    </row>
    <row r="12">
      <c r="A12" s="2" t="n">
        <v>2026</v>
      </c>
      <c r="B12" s="2" t="n">
        <v>8</v>
      </c>
      <c r="C12" s="2" t="inlineStr">
        <is>
          <t>SOMBRA SPA</t>
        </is>
      </c>
      <c r="D12" t="inlineStr">
        <is>
          <t>WORLD</t>
        </is>
      </c>
      <c r="E12" t="inlineStr">
        <is>
          <t>ITALIA</t>
        </is>
      </c>
      <c r="F12" t="inlineStr">
        <is>
          <t>SICILIA</t>
        </is>
      </c>
      <c r="G12" t="inlineStr">
        <is>
          <t>TRAPANI</t>
        </is>
      </c>
      <c r="H12" t="inlineStr">
        <is>
          <t>TRAPANI</t>
        </is>
      </c>
      <c r="I12" s="6" t="n">
        <v>50</v>
      </c>
      <c r="J12" s="3">
        <f>I12/$I$33</f>
        <v/>
      </c>
      <c r="K12" t="inlineStr">
        <is>
          <t>BOOKING</t>
        </is>
      </c>
      <c r="L12" s="6" t="n">
        <v>50</v>
      </c>
      <c r="M12" s="3">
        <f>L12/$I$33</f>
        <v/>
      </c>
    </row>
    <row r="13">
      <c r="A13" s="2" t="n">
        <v>2026</v>
      </c>
      <c r="B13" s="2" t="n">
        <v>8</v>
      </c>
      <c r="C13" s="2" t="inlineStr">
        <is>
          <t>SOMBRA HOTEL</t>
        </is>
      </c>
      <c r="D13" t="inlineStr">
        <is>
          <t>WORLD</t>
        </is>
      </c>
      <c r="E13" t="inlineStr">
        <is>
          <t>PERU</t>
        </is>
      </c>
      <c r="F13" t="inlineStr">
        <is>
          <t>LIMA</t>
        </is>
      </c>
      <c r="G13" t="inlineStr">
        <is>
          <t>LIMA</t>
        </is>
      </c>
      <c r="H13" t="inlineStr">
        <is>
          <t>LIMA</t>
        </is>
      </c>
      <c r="I13" s="6" t="n">
        <v>200</v>
      </c>
      <c r="J13" s="3">
        <f>I13/$I$33</f>
        <v/>
      </c>
      <c r="K13" t="inlineStr">
        <is>
          <t>BOOKING</t>
        </is>
      </c>
      <c r="L13" s="6" t="n">
        <v>200</v>
      </c>
      <c r="M13" s="3">
        <f>L13/$I$33</f>
        <v/>
      </c>
    </row>
    <row r="14">
      <c r="A14" s="2" t="n">
        <v>2026</v>
      </c>
      <c r="B14" s="2" t="n">
        <v>8</v>
      </c>
      <c r="C14" s="2" t="inlineStr">
        <is>
          <t>SOMBRA VILLAS</t>
        </is>
      </c>
      <c r="D14" t="inlineStr">
        <is>
          <t>WORLD</t>
        </is>
      </c>
      <c r="E14" t="inlineStr">
        <is>
          <t>PERU</t>
        </is>
      </c>
      <c r="F14" t="inlineStr">
        <is>
          <t>LIMA</t>
        </is>
      </c>
      <c r="G14" t="inlineStr">
        <is>
          <t>LIMA</t>
        </is>
      </c>
      <c r="H14" t="inlineStr">
        <is>
          <t>LIMA</t>
        </is>
      </c>
      <c r="I14" s="6" t="n">
        <v>200</v>
      </c>
      <c r="J14" s="3">
        <f>I14/$I$33</f>
        <v/>
      </c>
      <c r="K14" t="inlineStr">
        <is>
          <t>EXPEDIA</t>
        </is>
      </c>
      <c r="L14" s="6" t="n">
        <v>200</v>
      </c>
      <c r="M14" s="3">
        <f>L14/$I$33</f>
        <v/>
      </c>
    </row>
    <row r="15">
      <c r="A15" s="2" t="n">
        <v>2026</v>
      </c>
      <c r="B15" s="2" t="n">
        <v>8</v>
      </c>
      <c r="C15" s="2" t="inlineStr">
        <is>
          <t>SOMBRA RESORT</t>
        </is>
      </c>
      <c r="D15" t="inlineStr">
        <is>
          <t>WORLD</t>
        </is>
      </c>
      <c r="E15" t="inlineStr">
        <is>
          <t>FRANCIA</t>
        </is>
      </c>
      <c r="F15" t="inlineStr">
        <is>
          <t>ILE-DE-FRANCE</t>
        </is>
      </c>
      <c r="G15" t="inlineStr">
        <is>
          <t>PARIGI</t>
        </is>
      </c>
      <c r="H15" t="inlineStr">
        <is>
          <t>PARIGI</t>
        </is>
      </c>
      <c r="I15" s="6" t="n">
        <v>200</v>
      </c>
      <c r="J15" s="3">
        <f>I15/$I$33</f>
        <v/>
      </c>
      <c r="K15" t="inlineStr">
        <is>
          <t>BOOKING</t>
        </is>
      </c>
      <c r="L15" s="6" t="n">
        <v>200</v>
      </c>
      <c r="M15" s="3">
        <f>L15/$I$33</f>
        <v/>
      </c>
    </row>
    <row r="16">
      <c r="A16" s="2" t="n">
        <v>2026</v>
      </c>
      <c r="B16" s="2" t="n">
        <v>8</v>
      </c>
      <c r="C16" s="2" t="inlineStr">
        <is>
          <t>SOMBRA SPA</t>
        </is>
      </c>
      <c r="D16" t="inlineStr">
        <is>
          <t>WORLD</t>
        </is>
      </c>
      <c r="E16" t="inlineStr">
        <is>
          <t>INGHILTERRA</t>
        </is>
      </c>
      <c r="F16" t="inlineStr">
        <is>
          <t>ENGLAND</t>
        </is>
      </c>
      <c r="G16" t="inlineStr">
        <is>
          <t>GREATER LONDON</t>
        </is>
      </c>
      <c r="H16" t="inlineStr">
        <is>
          <t>LONDRA</t>
        </is>
      </c>
      <c r="I16" s="6" t="n">
        <v>200</v>
      </c>
      <c r="J16" s="3">
        <f>I16/$I$33</f>
        <v/>
      </c>
      <c r="K16" t="inlineStr">
        <is>
          <t>BOOKING</t>
        </is>
      </c>
      <c r="L16" s="6" t="n">
        <v>200</v>
      </c>
      <c r="M16" s="3">
        <f>L16/$I$33</f>
        <v/>
      </c>
    </row>
    <row r="17">
      <c r="A17" s="2" t="n">
        <v>2026</v>
      </c>
      <c r="B17" s="2" t="n">
        <v>8</v>
      </c>
      <c r="C17" s="2" t="inlineStr">
        <is>
          <t>SOMBRA HOTEL</t>
        </is>
      </c>
      <c r="D17" t="inlineStr">
        <is>
          <t>WORLD</t>
        </is>
      </c>
      <c r="E17" t="inlineStr">
        <is>
          <t>SVIZZERA</t>
        </is>
      </c>
      <c r="F17" t="inlineStr">
        <is>
          <t>ZURIGO</t>
        </is>
      </c>
      <c r="G17" t="inlineStr">
        <is>
          <t>ZURIGO</t>
        </is>
      </c>
      <c r="H17" t="inlineStr">
        <is>
          <t>ZURIGO</t>
        </is>
      </c>
      <c r="I17" s="6" t="n">
        <v>200</v>
      </c>
      <c r="J17" s="3">
        <f>I17/$I$33</f>
        <v/>
      </c>
      <c r="K17" t="inlineStr">
        <is>
          <t>BOOKING</t>
        </is>
      </c>
      <c r="L17" s="6" t="n">
        <v>200</v>
      </c>
      <c r="M17" s="3">
        <f>L17/$I$33</f>
        <v/>
      </c>
    </row>
    <row r="18">
      <c r="A18" s="2" t="n">
        <v>2026</v>
      </c>
      <c r="B18" s="2" t="n">
        <v>8</v>
      </c>
      <c r="C18" s="2" t="inlineStr">
        <is>
          <t>SOMBRA VILLAS</t>
        </is>
      </c>
      <c r="D18" t="inlineStr">
        <is>
          <t>WORLD</t>
        </is>
      </c>
      <c r="E18" t="inlineStr">
        <is>
          <t>CILE</t>
        </is>
      </c>
      <c r="F18" t="inlineStr">
        <is>
          <t>SANTIAGO</t>
        </is>
      </c>
      <c r="G18" t="inlineStr">
        <is>
          <t>SANTIAGO</t>
        </is>
      </c>
      <c r="H18" t="inlineStr">
        <is>
          <t>SANTIAGO</t>
        </is>
      </c>
      <c r="I18" s="6" t="n">
        <v>200</v>
      </c>
      <c r="J18" s="3">
        <f>I18/$I$33</f>
        <v/>
      </c>
      <c r="K18" t="inlineStr">
        <is>
          <t>EXPEDIA</t>
        </is>
      </c>
      <c r="L18" s="6" t="n">
        <v>200</v>
      </c>
      <c r="M18" s="3">
        <f>L18/$I$33</f>
        <v/>
      </c>
    </row>
    <row r="19">
      <c r="A19" s="2" t="n">
        <v>2026</v>
      </c>
      <c r="B19" s="2" t="n">
        <v>8</v>
      </c>
      <c r="C19" s="2" t="inlineStr">
        <is>
          <t>SOMBRA RESORT</t>
        </is>
      </c>
      <c r="D19" t="inlineStr">
        <is>
          <t>WORLD</t>
        </is>
      </c>
      <c r="E19" t="inlineStr">
        <is>
          <t>CILE</t>
        </is>
      </c>
      <c r="F19" t="inlineStr">
        <is>
          <t>SANTIAGO</t>
        </is>
      </c>
      <c r="G19" t="inlineStr">
        <is>
          <t>SANTIAGO</t>
        </is>
      </c>
      <c r="H19" t="inlineStr">
        <is>
          <t>SANTIAGO</t>
        </is>
      </c>
      <c r="I19" s="6" t="n">
        <v>200</v>
      </c>
      <c r="J19" s="3">
        <f>I19/$I$33</f>
        <v/>
      </c>
      <c r="K19" t="inlineStr">
        <is>
          <t>BOOKING</t>
        </is>
      </c>
      <c r="L19" s="6" t="n">
        <v>200</v>
      </c>
      <c r="M19" s="3">
        <f>L19/$I$33</f>
        <v/>
      </c>
    </row>
    <row r="20">
      <c r="A20" s="2" t="n">
        <v>2026</v>
      </c>
      <c r="B20" s="2" t="n">
        <v>8</v>
      </c>
      <c r="C20" s="2" t="inlineStr">
        <is>
          <t>SOMBRA SPA</t>
        </is>
      </c>
      <c r="D20" t="inlineStr">
        <is>
          <t>WORLD</t>
        </is>
      </c>
      <c r="E20" t="inlineStr">
        <is>
          <t>ARGENTINA</t>
        </is>
      </c>
      <c r="F20" t="inlineStr">
        <is>
          <t>BUENOS AIRES</t>
        </is>
      </c>
      <c r="G20" t="inlineStr">
        <is>
          <t>BUENOS AIRES</t>
        </is>
      </c>
      <c r="H20" t="inlineStr">
        <is>
          <t>BUENOS AIRES</t>
        </is>
      </c>
      <c r="I20" s="6" t="n">
        <v>200</v>
      </c>
      <c r="J20" s="3">
        <f>I20/$I$33</f>
        <v/>
      </c>
      <c r="K20" t="inlineStr">
        <is>
          <t>CVC</t>
        </is>
      </c>
      <c r="L20" s="6" t="n">
        <v>200</v>
      </c>
      <c r="M20" s="3">
        <f>L20/$I$33</f>
        <v/>
      </c>
    </row>
    <row r="21">
      <c r="A21" s="2" t="n">
        <v>2026</v>
      </c>
      <c r="B21" s="2" t="n">
        <v>8</v>
      </c>
      <c r="C21" s="2" t="inlineStr">
        <is>
          <t>SOMBRA HOTEL</t>
        </is>
      </c>
      <c r="D21" t="inlineStr">
        <is>
          <t>WORLD</t>
        </is>
      </c>
      <c r="E21" t="inlineStr">
        <is>
          <t>ARGENTINA</t>
        </is>
      </c>
      <c r="F21" t="inlineStr">
        <is>
          <t>BUENOS AIRES</t>
        </is>
      </c>
      <c r="G21" t="inlineStr">
        <is>
          <t>BUENOS AIRES</t>
        </is>
      </c>
      <c r="H21" t="inlineStr">
        <is>
          <t>BUENOS AIRES</t>
        </is>
      </c>
      <c r="I21" s="6" t="n">
        <v>200</v>
      </c>
      <c r="J21" s="3">
        <f>I21/$I$33</f>
        <v/>
      </c>
      <c r="K21" t="inlineStr">
        <is>
          <t>BOOKING</t>
        </is>
      </c>
      <c r="L21" s="6" t="n">
        <v>200</v>
      </c>
      <c r="M21" s="3">
        <f>L21/$I$33</f>
        <v/>
      </c>
    </row>
    <row r="22"/>
    <row r="23"/>
    <row r="24"/>
    <row r="25"/>
    <row r="26"/>
    <row r="27"/>
    <row r="28"/>
    <row r="29"/>
    <row r="30"/>
    <row r="31"/>
    <row r="32">
      <c r="I32" s="7" t="n"/>
      <c r="J32" s="1" t="n"/>
      <c r="L32" s="7" t="n"/>
      <c r="M32" s="1" t="n"/>
    </row>
    <row r="33">
      <c r="I33" s="8">
        <f>SUM(I3:I32)</f>
        <v/>
      </c>
      <c r="J33" s="9">
        <f>SUM(J3:J32)</f>
        <v/>
      </c>
      <c r="L33" s="8">
        <f>SUM(L3:L32)</f>
        <v/>
      </c>
      <c r="M33" s="9">
        <f>SUM(M3:M32)</f>
        <v/>
      </c>
    </row>
  </sheetData>
  <autoFilter ref="A2:J21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Edoardo</dc:creator>
  <dcterms:created xsi:type="dcterms:W3CDTF">2026-09-16T16:48:24Z</dcterms:created>
  <dcterms:modified xsi:type="dcterms:W3CDTF">2026-09-17T07:48:00Z</dcterms:modified>
  <cp:lastModifiedBy>Edoardo</cp:lastModifiedBy>
</cp:coreProperties>
</file>