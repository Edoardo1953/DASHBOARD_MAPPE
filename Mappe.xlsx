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oardo\.gemini\antigravity\scratch\DASHBOARD_MAPPE\"/>
    </mc:Choice>
  </mc:AlternateContent>
  <xr:revisionPtr revIDLastSave="0" documentId="13_ncr:1_{72D84A52-10CA-43FE-B174-C04325B186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rasile" sheetId="1" r:id="rId1"/>
    <sheet name="Note" sheetId="2" r:id="rId2"/>
  </sheets>
  <definedNames>
    <definedName name="_xlnm._FilterDatabase" localSheetId="0" hidden="1">Brasile!$A$2:$N$2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3" i="1" l="1"/>
  <c r="I33" i="1"/>
  <c r="M21" i="1"/>
  <c r="J21" i="1"/>
  <c r="M20" i="1"/>
  <c r="J20" i="1"/>
  <c r="M19" i="1"/>
  <c r="J19" i="1"/>
  <c r="M18" i="1"/>
  <c r="J18" i="1"/>
  <c r="M17" i="1"/>
  <c r="J17" i="1"/>
  <c r="M16" i="1"/>
  <c r="J16" i="1"/>
  <c r="M15" i="1"/>
  <c r="J15" i="1"/>
  <c r="M14" i="1"/>
  <c r="J14" i="1"/>
  <c r="M13" i="1"/>
  <c r="J13" i="1"/>
  <c r="M12" i="1"/>
  <c r="J12" i="1"/>
  <c r="M11" i="1"/>
  <c r="J11" i="1"/>
  <c r="M10" i="1"/>
  <c r="J10" i="1"/>
  <c r="M9" i="1"/>
  <c r="J9" i="1"/>
  <c r="M8" i="1"/>
  <c r="J8" i="1"/>
  <c r="M7" i="1"/>
  <c r="J7" i="1"/>
  <c r="M6" i="1"/>
  <c r="J6" i="1"/>
  <c r="M5" i="1"/>
  <c r="J5" i="1"/>
  <c r="M4" i="1"/>
  <c r="J4" i="1"/>
  <c r="M3" i="1"/>
  <c r="M33" i="1" s="1"/>
  <c r="J3" i="1"/>
  <c r="J33" i="1" s="1"/>
</calcChain>
</file>

<file path=xl/sharedStrings.xml><?xml version="1.0" encoding="utf-8"?>
<sst xmlns="http://schemas.openxmlformats.org/spreadsheetml/2006/main" count="154" uniqueCount="63">
  <si>
    <t>ANNO</t>
  </si>
  <si>
    <t>MESE</t>
  </si>
  <si>
    <t>HOTEL</t>
  </si>
  <si>
    <t>WORLD</t>
  </si>
  <si>
    <t>PAESE</t>
  </si>
  <si>
    <t>REGIONE</t>
  </si>
  <si>
    <t>PROVINCIA</t>
  </si>
  <si>
    <t>CITTA</t>
  </si>
  <si>
    <t>CLIENTI</t>
  </si>
  <si>
    <t>%</t>
  </si>
  <si>
    <t>CANALI PRENOTAZIONE</t>
  </si>
  <si>
    <t>SOMBRA RESORT</t>
  </si>
  <si>
    <t>BRASILE</t>
  </si>
  <si>
    <t>RIO GRANDE DO NORTE</t>
  </si>
  <si>
    <t>NATAL</t>
  </si>
  <si>
    <t>PRIVATI</t>
  </si>
  <si>
    <t>SOMBRA SPA</t>
  </si>
  <si>
    <t>MINAS GERAIS</t>
  </si>
  <si>
    <t>BELO HORIZONTE</t>
  </si>
  <si>
    <t>SOMBRA HOTEL</t>
  </si>
  <si>
    <t>SAO PAULO</t>
  </si>
  <si>
    <t>SAN PAOLO</t>
  </si>
  <si>
    <t>SOMBRA VILLAS</t>
  </si>
  <si>
    <t>RIO GRANDE DO SUL</t>
  </si>
  <si>
    <t>PORTO ALEGRE</t>
  </si>
  <si>
    <t>ITALIA</t>
  </si>
  <si>
    <t>VENETO</t>
  </si>
  <si>
    <t>VENEZIA</t>
  </si>
  <si>
    <t>BOOKING</t>
  </si>
  <si>
    <t>LOMBARDIA</t>
  </si>
  <si>
    <t>MILANO</t>
  </si>
  <si>
    <t>TOSCANA</t>
  </si>
  <si>
    <t>FIRENZE</t>
  </si>
  <si>
    <t>EMILIA ROMAGNA</t>
  </si>
  <si>
    <t>BOLOGNA</t>
  </si>
  <si>
    <t>EXPEDIA</t>
  </si>
  <si>
    <t>CALABRIA</t>
  </si>
  <si>
    <t>REGGIO CALABRIA</t>
  </si>
  <si>
    <t>SICILIA</t>
  </si>
  <si>
    <t>TRAPANI</t>
  </si>
  <si>
    <t>PERU</t>
  </si>
  <si>
    <t>LIMA</t>
  </si>
  <si>
    <t>FRANCIA</t>
  </si>
  <si>
    <t>ILE-DE-FRANCE</t>
  </si>
  <si>
    <t>PARIGI</t>
  </si>
  <si>
    <t>INGHILTERRA</t>
  </si>
  <si>
    <t>ENGLAND</t>
  </si>
  <si>
    <t>GREATER LONDON</t>
  </si>
  <si>
    <t>LONDRA</t>
  </si>
  <si>
    <t>SVIZZERA</t>
  </si>
  <si>
    <t>ZURIGO</t>
  </si>
  <si>
    <t>CILE</t>
  </si>
  <si>
    <t>SANTIAGO</t>
  </si>
  <si>
    <t>ARGENTINA</t>
  </si>
  <si>
    <t>BUENOS AIRES</t>
  </si>
  <si>
    <t>CVC</t>
  </si>
  <si>
    <r>
      <t>1. Aggiornamento immediato del file Excel</t>
    </r>
    <r>
      <rPr>
        <sz val="11"/>
        <color rgb="FF101010"/>
        <rFont val="Segoe UI"/>
        <family val="2"/>
      </rPr>
      <t>: tutte le 28 celle vuote del file </t>
    </r>
    <r>
      <rPr>
        <sz val="9.9"/>
        <color rgb="FFA31515"/>
        <rFont val="Consolas"/>
        <family val="3"/>
      </rPr>
      <t>Mappe.xlsx</t>
    </r>
    <r>
      <rPr>
        <sz val="11"/>
        <color rgb="FF101010"/>
        <rFont val="Segoe UI"/>
        <family val="2"/>
      </rPr>
      <t> sul Desktop (e nella cartella del programma) sono state riempite con i rispettivi valori di </t>
    </r>
    <r>
      <rPr>
        <b/>
        <sz val="11"/>
        <color rgb="FF101010"/>
        <rFont val="Segoe UI"/>
        <family val="2"/>
      </rPr>
      <t>PAESE / STATO</t>
    </r>
    <r>
      <rPr>
        <sz val="11"/>
        <color rgb="FF101010"/>
        <rFont val="Segoe UI"/>
        <family val="2"/>
      </rPr>
      <t>, </t>
    </r>
    <r>
      <rPr>
        <b/>
        <sz val="11"/>
        <color rgb="FF101010"/>
        <rFont val="Segoe UI"/>
        <family val="2"/>
      </rPr>
      <t>REGIONE</t>
    </r>
    <r>
      <rPr>
        <sz val="11"/>
        <color rgb="FF101010"/>
        <rFont val="Segoe UI"/>
        <family val="2"/>
      </rPr>
      <t> e </t>
    </r>
    <r>
      <rPr>
        <b/>
        <sz val="11"/>
        <color rgb="FF101010"/>
        <rFont val="Segoe UI"/>
        <family val="2"/>
      </rPr>
      <t>PROVINCIA</t>
    </r>
    <r>
      <rPr>
        <sz val="11"/>
        <color rgb="FF101010"/>
        <rFont val="Segoe UI"/>
        <family val="2"/>
      </rPr>
      <t> calcolati a partire dalla </t>
    </r>
    <r>
      <rPr>
        <b/>
        <sz val="11"/>
        <color rgb="FF101010"/>
        <rFont val="Segoe UI"/>
        <family val="2"/>
      </rPr>
      <t>CITTÀ</t>
    </r>
    <r>
      <rPr>
        <sz val="11"/>
        <color rgb="FF101010"/>
        <rFont val="Segoe UI"/>
        <family val="2"/>
      </rPr>
      <t>:</t>
    </r>
  </si>
  <si>
    <r>
      <t>Brasile</t>
    </r>
    <r>
      <rPr>
        <sz val="11"/>
        <color rgb="FF101010"/>
        <rFont val="Segoe UI"/>
        <family val="2"/>
      </rPr>
      <t>: Natal (</t>
    </r>
    <r>
      <rPr>
        <i/>
        <sz val="11"/>
        <color rgb="FF101010"/>
        <rFont val="Segoe UI"/>
        <family val="2"/>
      </rPr>
      <t>Rio Grande do Norte / Natal</t>
    </r>
    <r>
      <rPr>
        <sz val="11"/>
        <color rgb="FF101010"/>
        <rFont val="Segoe UI"/>
        <family val="2"/>
      </rPr>
      <t>), Belo Horizonte (</t>
    </r>
    <r>
      <rPr>
        <i/>
        <sz val="11"/>
        <color rgb="FF101010"/>
        <rFont val="Segoe UI"/>
        <family val="2"/>
      </rPr>
      <t>Minas Gerais / Belo Horizonte</t>
    </r>
    <r>
      <rPr>
        <sz val="11"/>
        <color rgb="FF101010"/>
        <rFont val="Segoe UI"/>
        <family val="2"/>
      </rPr>
      <t>), San Paolo (</t>
    </r>
    <r>
      <rPr>
        <i/>
        <sz val="11"/>
        <color rgb="FF101010"/>
        <rFont val="Segoe UI"/>
        <family val="2"/>
      </rPr>
      <t>São Paulo / São Paulo</t>
    </r>
    <r>
      <rPr>
        <sz val="11"/>
        <color rgb="FF101010"/>
        <rFont val="Segoe UI"/>
        <family val="2"/>
      </rPr>
      <t>), Porto Alegre (</t>
    </r>
    <r>
      <rPr>
        <i/>
        <sz val="11"/>
        <color rgb="FF101010"/>
        <rFont val="Segoe UI"/>
        <family val="2"/>
      </rPr>
      <t>Rio Grande do Sul / Porto Alegre</t>
    </r>
    <r>
      <rPr>
        <sz val="11"/>
        <color rgb="FF101010"/>
        <rFont val="Segoe UI"/>
        <family val="2"/>
      </rPr>
      <t>).</t>
    </r>
  </si>
  <si>
    <r>
      <t>Italia</t>
    </r>
    <r>
      <rPr>
        <sz val="11"/>
        <color rgb="FF101010"/>
        <rFont val="Segoe UI"/>
        <family val="2"/>
      </rPr>
      <t>: Venezia (</t>
    </r>
    <r>
      <rPr>
        <i/>
        <sz val="11"/>
        <color rgb="FF101010"/>
        <rFont val="Segoe UI"/>
        <family val="2"/>
      </rPr>
      <t>Veneto / Venezia</t>
    </r>
    <r>
      <rPr>
        <sz val="11"/>
        <color rgb="FF101010"/>
        <rFont val="Segoe UI"/>
        <family val="2"/>
      </rPr>
      <t>), Milano (</t>
    </r>
    <r>
      <rPr>
        <i/>
        <sz val="11"/>
        <color rgb="FF101010"/>
        <rFont val="Segoe UI"/>
        <family val="2"/>
      </rPr>
      <t>Lombardia / Milano</t>
    </r>
    <r>
      <rPr>
        <sz val="11"/>
        <color rgb="FF101010"/>
        <rFont val="Segoe UI"/>
        <family val="2"/>
      </rPr>
      <t>), Firenze (</t>
    </r>
    <r>
      <rPr>
        <i/>
        <sz val="11"/>
        <color rgb="FF101010"/>
        <rFont val="Segoe UI"/>
        <family val="2"/>
      </rPr>
      <t>Toscana / Firenze</t>
    </r>
    <r>
      <rPr>
        <sz val="11"/>
        <color rgb="FF101010"/>
        <rFont val="Segoe UI"/>
        <family val="2"/>
      </rPr>
      <t>), Bologna (</t>
    </r>
    <r>
      <rPr>
        <i/>
        <sz val="11"/>
        <color rgb="FF101010"/>
        <rFont val="Segoe UI"/>
        <family val="2"/>
      </rPr>
      <t>Emilia Romagna / Bologna</t>
    </r>
    <r>
      <rPr>
        <sz val="11"/>
        <color rgb="FF101010"/>
        <rFont val="Segoe UI"/>
        <family val="2"/>
      </rPr>
      <t>), Reggio Calabria (</t>
    </r>
    <r>
      <rPr>
        <i/>
        <sz val="11"/>
        <color rgb="FF101010"/>
        <rFont val="Segoe UI"/>
        <family val="2"/>
      </rPr>
      <t>Calabria / Reggio Calabria</t>
    </r>
    <r>
      <rPr>
        <sz val="11"/>
        <color rgb="FF101010"/>
        <rFont val="Segoe UI"/>
        <family val="2"/>
      </rPr>
      <t>), Trapani (</t>
    </r>
    <r>
      <rPr>
        <i/>
        <sz val="11"/>
        <color rgb="FF101010"/>
        <rFont val="Segoe UI"/>
        <family val="2"/>
      </rPr>
      <t>Sicilia / Trapani</t>
    </r>
    <r>
      <rPr>
        <sz val="11"/>
        <color rgb="FF101010"/>
        <rFont val="Segoe UI"/>
        <family val="2"/>
      </rPr>
      <t>).</t>
    </r>
  </si>
  <si>
    <r>
      <t>Estero</t>
    </r>
    <r>
      <rPr>
        <sz val="11"/>
        <color rgb="FF101010"/>
        <rFont val="Segoe UI"/>
        <family val="2"/>
      </rPr>
      <t>: Lima (</t>
    </r>
    <r>
      <rPr>
        <i/>
        <sz val="11"/>
        <color rgb="FF101010"/>
        <rFont val="Segoe UI"/>
        <family val="2"/>
      </rPr>
      <t>Perù / Lima</t>
    </r>
    <r>
      <rPr>
        <sz val="11"/>
        <color rgb="FF101010"/>
        <rFont val="Segoe UI"/>
        <family val="2"/>
      </rPr>
      <t>), Parigi (</t>
    </r>
    <r>
      <rPr>
        <i/>
        <sz val="11"/>
        <color rgb="FF101010"/>
        <rFont val="Segoe UI"/>
        <family val="2"/>
      </rPr>
      <t>Francia / Île-de-France / Parigi</t>
    </r>
    <r>
      <rPr>
        <sz val="11"/>
        <color rgb="FF101010"/>
        <rFont val="Segoe UI"/>
        <family val="2"/>
      </rPr>
      <t>), Londra (</t>
    </r>
    <r>
      <rPr>
        <i/>
        <sz val="11"/>
        <color rgb="FF101010"/>
        <rFont val="Segoe UI"/>
        <family val="2"/>
      </rPr>
      <t>Inghilterra / England / Greater London</t>
    </r>
    <r>
      <rPr>
        <sz val="11"/>
        <color rgb="FF101010"/>
        <rFont val="Segoe UI"/>
        <family val="2"/>
      </rPr>
      <t>), Zurigo (</t>
    </r>
    <r>
      <rPr>
        <i/>
        <sz val="11"/>
        <color rgb="FF101010"/>
        <rFont val="Segoe UI"/>
        <family val="2"/>
      </rPr>
      <t>Svizzera / Zurigo</t>
    </r>
    <r>
      <rPr>
        <sz val="11"/>
        <color rgb="FF101010"/>
        <rFont val="Segoe UI"/>
        <family val="2"/>
      </rPr>
      <t>), Santiago (</t>
    </r>
    <r>
      <rPr>
        <i/>
        <sz val="11"/>
        <color rgb="FF101010"/>
        <rFont val="Segoe UI"/>
        <family val="2"/>
      </rPr>
      <t>Cile / Santiago</t>
    </r>
    <r>
      <rPr>
        <sz val="11"/>
        <color rgb="FF101010"/>
        <rFont val="Segoe UI"/>
        <family val="2"/>
      </rPr>
      <t>), Buenos Aires (</t>
    </r>
    <r>
      <rPr>
        <i/>
        <sz val="11"/>
        <color rgb="FF101010"/>
        <rFont val="Segoe UI"/>
        <family val="2"/>
      </rPr>
      <t>Argentina / Buenos Aires</t>
    </r>
    <r>
      <rPr>
        <sz val="11"/>
        <color rgb="FF101010"/>
        <rFont val="Segoe UI"/>
        <family val="2"/>
      </rPr>
      <t>).</t>
    </r>
  </si>
  <si>
    <r>
      <t>2. Automatismo permanente</t>
    </r>
    <r>
      <rPr>
        <sz val="11"/>
        <color rgb="FF101010"/>
        <rFont val="Segoe UI"/>
        <family val="2"/>
      </rPr>
      <t>: ogni volta che la dashboard legge il file Excel (all'avvio o quando aggiorni la pagina), il server controlla se ci sono nuove righe in cui è stata indicata </t>
    </r>
    <r>
      <rPr>
        <b/>
        <sz val="11"/>
        <color rgb="FF101010"/>
        <rFont val="Segoe UI"/>
        <family val="2"/>
      </rPr>
      <t>solo la Città</t>
    </r>
    <r>
      <rPr>
        <sz val="11"/>
        <color rgb="FF101010"/>
        <rFont val="Segoe UI"/>
        <family val="2"/>
      </rPr>
      <t>, compila automaticamente i campi geografici mancanti e </t>
    </r>
    <r>
      <rPr>
        <b/>
        <sz val="11"/>
        <color rgb="FF101010"/>
        <rFont val="Segoe UI"/>
        <family val="2"/>
      </rPr>
      <t>salva direttamente il file Excel sul disco</t>
    </r>
    <r>
      <rPr>
        <sz val="11"/>
        <color rgb="FF101010"/>
        <rFont val="Segoe UI"/>
        <family val="2"/>
      </rPr>
      <t>.</t>
    </r>
  </si>
  <si>
    <t>E' sufficiente inserire nel foglio Excel il nome della città, affinché il sistema compili in automatico, lo Stato, La Regione e la Provincia.</t>
  </si>
  <si>
    <t>CORTESIA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</si>
</sst>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01010"/>
      <name val="Segoe UI"/>
      <family val="2"/>
    </font>
    <font>
      <b/>
      <sz val="11"/>
      <color rgb="FF101010"/>
      <name val="Segoe UI"/>
      <family val="2"/>
    </font>
    <font>
      <sz val="9.9"/>
      <color rgb="FFA31515"/>
      <name val="Consolas"/>
      <family val="3"/>
    </font>
    <font>
      <i/>
      <sz val="11"/>
      <color rgb="FF101010"/>
      <name val="Segoe UI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164" fontId="1" fillId="0" borderId="0" xfId="0" applyNumberFormat="1" applyFont="1"/>
    <xf numFmtId="10" fontId="1" fillId="0" borderId="0" xfId="0" applyNumberFormat="1" applyFon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left" vertical="center" wrapText="1"/>
    </xf>
    <xf numFmtId="10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3"/>
  <sheetViews>
    <sheetView tabSelected="1" workbookViewId="0">
      <selection activeCell="R20" sqref="R20"/>
    </sheetView>
  </sheetViews>
  <sheetFormatPr defaultRowHeight="15" x14ac:dyDescent="0.25"/>
  <cols>
    <col min="1" max="2" width="9.140625" style="2" customWidth="1"/>
    <col min="3" max="3" width="21.28515625" style="2" customWidth="1"/>
    <col min="4" max="4" width="11.42578125" customWidth="1"/>
    <col min="5" max="5" width="14.7109375" customWidth="1"/>
    <col min="6" max="6" width="26.28515625" customWidth="1"/>
    <col min="7" max="7" width="15.7109375" customWidth="1"/>
    <col min="8" max="8" width="16.7109375" customWidth="1"/>
    <col min="9" max="9" width="16.7109375" style="6" customWidth="1"/>
    <col min="11" max="11" width="14" customWidth="1"/>
    <col min="12" max="12" width="14.140625" style="6" customWidth="1"/>
    <col min="13" max="13" width="9.140625" style="2"/>
    <col min="14" max="14" width="14" customWidth="1"/>
  </cols>
  <sheetData>
    <row r="2" spans="1:14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5" t="s">
        <v>8</v>
      </c>
      <c r="J2" s="4" t="s">
        <v>9</v>
      </c>
      <c r="K2" s="4" t="s">
        <v>10</v>
      </c>
      <c r="L2" s="5" t="s">
        <v>8</v>
      </c>
      <c r="M2" s="4" t="s">
        <v>9</v>
      </c>
      <c r="N2" s="4" t="s">
        <v>62</v>
      </c>
    </row>
    <row r="3" spans="1:14" x14ac:dyDescent="0.25">
      <c r="A3" s="2">
        <v>2026</v>
      </c>
      <c r="B3" s="2">
        <v>7</v>
      </c>
      <c r="C3" s="2" t="s">
        <v>11</v>
      </c>
      <c r="D3" t="s">
        <v>3</v>
      </c>
      <c r="E3" t="s">
        <v>12</v>
      </c>
      <c r="F3" t="s">
        <v>13</v>
      </c>
      <c r="G3" t="s">
        <v>14</v>
      </c>
      <c r="H3" t="s">
        <v>14</v>
      </c>
      <c r="I3" s="6">
        <v>100</v>
      </c>
      <c r="J3" s="3">
        <f t="shared" ref="J3:J21" si="0">I3/$I$33</f>
        <v>2.8169014084507043E-2</v>
      </c>
      <c r="K3" t="s">
        <v>15</v>
      </c>
      <c r="L3" s="6">
        <v>100</v>
      </c>
      <c r="M3" s="13">
        <f t="shared" ref="M3:M21" si="1">L3/$I$33</f>
        <v>2.8169014084507043E-2</v>
      </c>
    </row>
    <row r="4" spans="1:14" x14ac:dyDescent="0.25">
      <c r="A4" s="2">
        <v>2026</v>
      </c>
      <c r="B4" s="2">
        <v>7</v>
      </c>
      <c r="C4" s="2" t="s">
        <v>16</v>
      </c>
      <c r="D4" t="s">
        <v>3</v>
      </c>
      <c r="E4" t="s">
        <v>12</v>
      </c>
      <c r="F4" t="s">
        <v>17</v>
      </c>
      <c r="G4" t="s">
        <v>18</v>
      </c>
      <c r="H4" t="s">
        <v>18</v>
      </c>
      <c r="I4" s="6">
        <v>200</v>
      </c>
      <c r="J4" s="3">
        <f t="shared" si="0"/>
        <v>5.6338028169014086E-2</v>
      </c>
      <c r="K4" t="s">
        <v>15</v>
      </c>
      <c r="L4" s="6">
        <v>200</v>
      </c>
      <c r="M4" s="13">
        <f t="shared" si="1"/>
        <v>5.6338028169014086E-2</v>
      </c>
    </row>
    <row r="5" spans="1:14" x14ac:dyDescent="0.25">
      <c r="A5" s="2">
        <v>2026</v>
      </c>
      <c r="B5" s="2">
        <v>8</v>
      </c>
      <c r="C5" s="2" t="s">
        <v>19</v>
      </c>
      <c r="D5" t="s">
        <v>3</v>
      </c>
      <c r="E5" t="s">
        <v>12</v>
      </c>
      <c r="F5" t="s">
        <v>20</v>
      </c>
      <c r="G5" t="s">
        <v>20</v>
      </c>
      <c r="H5" t="s">
        <v>21</v>
      </c>
      <c r="I5" s="6">
        <v>300</v>
      </c>
      <c r="J5" s="3">
        <f t="shared" si="0"/>
        <v>8.4507042253521125E-2</v>
      </c>
      <c r="K5" t="s">
        <v>15</v>
      </c>
      <c r="L5" s="6">
        <v>300</v>
      </c>
      <c r="M5" s="13">
        <f t="shared" si="1"/>
        <v>8.4507042253521125E-2</v>
      </c>
    </row>
    <row r="6" spans="1:14" x14ac:dyDescent="0.25">
      <c r="A6" s="2">
        <v>2026</v>
      </c>
      <c r="B6" s="2">
        <v>8</v>
      </c>
      <c r="C6" s="2" t="s">
        <v>22</v>
      </c>
      <c r="D6" t="s">
        <v>3</v>
      </c>
      <c r="E6" t="s">
        <v>12</v>
      </c>
      <c r="F6" t="s">
        <v>23</v>
      </c>
      <c r="G6" t="s">
        <v>24</v>
      </c>
      <c r="H6" t="s">
        <v>24</v>
      </c>
      <c r="I6" s="6">
        <v>200</v>
      </c>
      <c r="J6" s="3">
        <f t="shared" si="0"/>
        <v>5.6338028169014086E-2</v>
      </c>
      <c r="K6" t="s">
        <v>15</v>
      </c>
      <c r="L6" s="6">
        <v>200</v>
      </c>
      <c r="M6" s="13">
        <f t="shared" si="1"/>
        <v>5.6338028169014086E-2</v>
      </c>
    </row>
    <row r="7" spans="1:14" x14ac:dyDescent="0.25">
      <c r="A7" s="2">
        <v>2026</v>
      </c>
      <c r="B7" s="2">
        <v>7</v>
      </c>
      <c r="C7" s="2" t="s">
        <v>11</v>
      </c>
      <c r="D7" t="s">
        <v>3</v>
      </c>
      <c r="E7" t="s">
        <v>25</v>
      </c>
      <c r="F7" t="s">
        <v>26</v>
      </c>
      <c r="G7" t="s">
        <v>27</v>
      </c>
      <c r="H7" t="s">
        <v>27</v>
      </c>
      <c r="I7" s="6">
        <v>100</v>
      </c>
      <c r="J7" s="3">
        <f t="shared" si="0"/>
        <v>2.8169014084507043E-2</v>
      </c>
      <c r="K7" t="s">
        <v>28</v>
      </c>
      <c r="L7" s="6">
        <v>100</v>
      </c>
      <c r="M7" s="13">
        <f t="shared" si="1"/>
        <v>2.8169014084507043E-2</v>
      </c>
    </row>
    <row r="8" spans="1:14" x14ac:dyDescent="0.25">
      <c r="A8" s="2">
        <v>2026</v>
      </c>
      <c r="B8" s="2">
        <v>7</v>
      </c>
      <c r="C8" s="2" t="s">
        <v>16</v>
      </c>
      <c r="D8" t="s">
        <v>3</v>
      </c>
      <c r="E8" t="s">
        <v>25</v>
      </c>
      <c r="F8" t="s">
        <v>29</v>
      </c>
      <c r="G8" t="s">
        <v>30</v>
      </c>
      <c r="H8" t="s">
        <v>30</v>
      </c>
      <c r="I8" s="6">
        <v>200</v>
      </c>
      <c r="J8" s="3">
        <f t="shared" si="0"/>
        <v>5.6338028169014086E-2</v>
      </c>
      <c r="K8" t="s">
        <v>28</v>
      </c>
      <c r="L8" s="6">
        <v>200</v>
      </c>
      <c r="M8" s="13">
        <f t="shared" si="1"/>
        <v>5.6338028169014086E-2</v>
      </c>
    </row>
    <row r="9" spans="1:14" x14ac:dyDescent="0.25">
      <c r="A9" s="2">
        <v>2026</v>
      </c>
      <c r="B9" s="2">
        <v>8</v>
      </c>
      <c r="C9" s="2" t="s">
        <v>19</v>
      </c>
      <c r="D9" t="s">
        <v>3</v>
      </c>
      <c r="E9" t="s">
        <v>25</v>
      </c>
      <c r="F9" t="s">
        <v>31</v>
      </c>
      <c r="G9" t="s">
        <v>32</v>
      </c>
      <c r="H9" t="s">
        <v>32</v>
      </c>
      <c r="I9" s="6">
        <v>300</v>
      </c>
      <c r="J9" s="3">
        <f t="shared" si="0"/>
        <v>8.4507042253521125E-2</v>
      </c>
      <c r="K9" t="s">
        <v>28</v>
      </c>
      <c r="L9" s="6">
        <v>300</v>
      </c>
      <c r="M9" s="13">
        <f t="shared" si="1"/>
        <v>8.4507042253521125E-2</v>
      </c>
    </row>
    <row r="10" spans="1:14" x14ac:dyDescent="0.25">
      <c r="A10" s="2">
        <v>2026</v>
      </c>
      <c r="B10" s="2">
        <v>8</v>
      </c>
      <c r="C10" s="2" t="s">
        <v>22</v>
      </c>
      <c r="D10" t="s">
        <v>3</v>
      </c>
      <c r="E10" t="s">
        <v>25</v>
      </c>
      <c r="F10" t="s">
        <v>33</v>
      </c>
      <c r="G10" t="s">
        <v>34</v>
      </c>
      <c r="H10" t="s">
        <v>34</v>
      </c>
      <c r="I10" s="6">
        <v>200</v>
      </c>
      <c r="J10" s="3">
        <f t="shared" si="0"/>
        <v>5.6338028169014086E-2</v>
      </c>
      <c r="K10" t="s">
        <v>35</v>
      </c>
      <c r="L10" s="6">
        <v>200</v>
      </c>
      <c r="M10" s="13">
        <f t="shared" si="1"/>
        <v>5.6338028169014086E-2</v>
      </c>
    </row>
    <row r="11" spans="1:14" x14ac:dyDescent="0.25">
      <c r="A11" s="2">
        <v>2026</v>
      </c>
      <c r="B11" s="2">
        <v>8</v>
      </c>
      <c r="C11" s="2" t="s">
        <v>11</v>
      </c>
      <c r="D11" t="s">
        <v>3</v>
      </c>
      <c r="E11" t="s">
        <v>25</v>
      </c>
      <c r="F11" t="s">
        <v>36</v>
      </c>
      <c r="G11" t="s">
        <v>37</v>
      </c>
      <c r="H11" t="s">
        <v>37</v>
      </c>
      <c r="I11" s="6">
        <v>100</v>
      </c>
      <c r="J11" s="3">
        <f t="shared" si="0"/>
        <v>2.8169014084507043E-2</v>
      </c>
      <c r="K11" t="s">
        <v>28</v>
      </c>
      <c r="L11" s="6">
        <v>100</v>
      </c>
      <c r="M11" s="13">
        <f t="shared" si="1"/>
        <v>2.8169014084507043E-2</v>
      </c>
    </row>
    <row r="12" spans="1:14" x14ac:dyDescent="0.25">
      <c r="A12" s="2">
        <v>2026</v>
      </c>
      <c r="B12" s="2">
        <v>8</v>
      </c>
      <c r="C12" s="2" t="s">
        <v>16</v>
      </c>
      <c r="D12" t="s">
        <v>3</v>
      </c>
      <c r="E12" t="s">
        <v>25</v>
      </c>
      <c r="F12" t="s">
        <v>38</v>
      </c>
      <c r="G12" t="s">
        <v>39</v>
      </c>
      <c r="H12" t="s">
        <v>39</v>
      </c>
      <c r="I12" s="6">
        <v>50</v>
      </c>
      <c r="J12" s="3">
        <f t="shared" si="0"/>
        <v>1.4084507042253521E-2</v>
      </c>
      <c r="K12" t="s">
        <v>28</v>
      </c>
      <c r="L12" s="6">
        <v>50</v>
      </c>
      <c r="M12" s="13">
        <f t="shared" si="1"/>
        <v>1.4084507042253521E-2</v>
      </c>
    </row>
    <row r="13" spans="1:14" x14ac:dyDescent="0.25">
      <c r="A13" s="2">
        <v>2026</v>
      </c>
      <c r="B13" s="2">
        <v>8</v>
      </c>
      <c r="C13" s="2" t="s">
        <v>19</v>
      </c>
      <c r="D13" t="s">
        <v>3</v>
      </c>
      <c r="E13" t="s">
        <v>40</v>
      </c>
      <c r="F13" t="s">
        <v>41</v>
      </c>
      <c r="G13" t="s">
        <v>41</v>
      </c>
      <c r="H13" t="s">
        <v>41</v>
      </c>
      <c r="I13" s="6">
        <v>200</v>
      </c>
      <c r="J13" s="3">
        <f t="shared" si="0"/>
        <v>5.6338028169014086E-2</v>
      </c>
      <c r="K13" t="s">
        <v>28</v>
      </c>
      <c r="L13" s="6">
        <v>200</v>
      </c>
      <c r="M13" s="13">
        <f t="shared" si="1"/>
        <v>5.6338028169014086E-2</v>
      </c>
    </row>
    <row r="14" spans="1:14" x14ac:dyDescent="0.25">
      <c r="A14" s="2">
        <v>2026</v>
      </c>
      <c r="B14" s="2">
        <v>8</v>
      </c>
      <c r="C14" s="2" t="s">
        <v>22</v>
      </c>
      <c r="D14" t="s">
        <v>3</v>
      </c>
      <c r="E14" t="s">
        <v>40</v>
      </c>
      <c r="F14" t="s">
        <v>41</v>
      </c>
      <c r="G14" t="s">
        <v>41</v>
      </c>
      <c r="H14" t="s">
        <v>41</v>
      </c>
      <c r="I14" s="6">
        <v>200</v>
      </c>
      <c r="J14" s="3">
        <f t="shared" si="0"/>
        <v>5.6338028169014086E-2</v>
      </c>
      <c r="K14" t="s">
        <v>35</v>
      </c>
      <c r="L14" s="6">
        <v>200</v>
      </c>
      <c r="M14" s="13">
        <f t="shared" si="1"/>
        <v>5.6338028169014086E-2</v>
      </c>
    </row>
    <row r="15" spans="1:14" x14ac:dyDescent="0.25">
      <c r="A15" s="2">
        <v>2026</v>
      </c>
      <c r="B15" s="2">
        <v>8</v>
      </c>
      <c r="C15" s="2" t="s">
        <v>11</v>
      </c>
      <c r="D15" t="s">
        <v>3</v>
      </c>
      <c r="E15" t="s">
        <v>42</v>
      </c>
      <c r="F15" t="s">
        <v>43</v>
      </c>
      <c r="G15" t="s">
        <v>44</v>
      </c>
      <c r="H15" t="s">
        <v>44</v>
      </c>
      <c r="I15" s="6">
        <v>200</v>
      </c>
      <c r="J15" s="3">
        <f t="shared" si="0"/>
        <v>5.6338028169014086E-2</v>
      </c>
      <c r="K15" t="s">
        <v>15</v>
      </c>
      <c r="L15" s="6">
        <v>200</v>
      </c>
      <c r="M15" s="13">
        <f t="shared" si="1"/>
        <v>5.6338028169014086E-2</v>
      </c>
      <c r="N15" t="s">
        <v>62</v>
      </c>
    </row>
    <row r="16" spans="1:14" x14ac:dyDescent="0.25">
      <c r="A16" s="2">
        <v>2026</v>
      </c>
      <c r="B16" s="2">
        <v>8</v>
      </c>
      <c r="C16" s="2" t="s">
        <v>16</v>
      </c>
      <c r="D16" t="s">
        <v>3</v>
      </c>
      <c r="E16" t="s">
        <v>45</v>
      </c>
      <c r="F16" t="s">
        <v>46</v>
      </c>
      <c r="G16" t="s">
        <v>47</v>
      </c>
      <c r="H16" t="s">
        <v>48</v>
      </c>
      <c r="I16" s="6">
        <v>200</v>
      </c>
      <c r="J16" s="3">
        <f t="shared" si="0"/>
        <v>5.6338028169014086E-2</v>
      </c>
      <c r="K16" t="s">
        <v>28</v>
      </c>
      <c r="L16" s="6">
        <v>200</v>
      </c>
      <c r="M16" s="13">
        <f t="shared" si="1"/>
        <v>5.6338028169014086E-2</v>
      </c>
    </row>
    <row r="17" spans="1:13" x14ac:dyDescent="0.25">
      <c r="A17" s="2">
        <v>2026</v>
      </c>
      <c r="B17" s="2">
        <v>8</v>
      </c>
      <c r="C17" s="2" t="s">
        <v>19</v>
      </c>
      <c r="D17" t="s">
        <v>3</v>
      </c>
      <c r="E17" t="s">
        <v>49</v>
      </c>
      <c r="F17" t="s">
        <v>50</v>
      </c>
      <c r="G17" t="s">
        <v>50</v>
      </c>
      <c r="H17" t="s">
        <v>50</v>
      </c>
      <c r="I17" s="6">
        <v>200</v>
      </c>
      <c r="J17" s="3">
        <f t="shared" si="0"/>
        <v>5.6338028169014086E-2</v>
      </c>
      <c r="K17" t="s">
        <v>28</v>
      </c>
      <c r="L17" s="6">
        <v>200</v>
      </c>
      <c r="M17" s="13">
        <f t="shared" si="1"/>
        <v>5.6338028169014086E-2</v>
      </c>
    </row>
    <row r="18" spans="1:13" x14ac:dyDescent="0.25">
      <c r="A18" s="2">
        <v>2026</v>
      </c>
      <c r="B18" s="2">
        <v>8</v>
      </c>
      <c r="C18" s="2" t="s">
        <v>22</v>
      </c>
      <c r="D18" t="s">
        <v>3</v>
      </c>
      <c r="E18" t="s">
        <v>51</v>
      </c>
      <c r="F18" t="s">
        <v>52</v>
      </c>
      <c r="G18" t="s">
        <v>52</v>
      </c>
      <c r="H18" t="s">
        <v>52</v>
      </c>
      <c r="I18" s="6">
        <v>200</v>
      </c>
      <c r="J18" s="3">
        <f t="shared" si="0"/>
        <v>5.6338028169014086E-2</v>
      </c>
      <c r="K18" t="s">
        <v>35</v>
      </c>
      <c r="L18" s="6">
        <v>200</v>
      </c>
      <c r="M18" s="13">
        <f t="shared" si="1"/>
        <v>5.6338028169014086E-2</v>
      </c>
    </row>
    <row r="19" spans="1:13" x14ac:dyDescent="0.25">
      <c r="A19" s="2">
        <v>2026</v>
      </c>
      <c r="B19" s="2">
        <v>8</v>
      </c>
      <c r="C19" s="2" t="s">
        <v>11</v>
      </c>
      <c r="D19" t="s">
        <v>3</v>
      </c>
      <c r="E19" t="s">
        <v>51</v>
      </c>
      <c r="F19" t="s">
        <v>52</v>
      </c>
      <c r="G19" t="s">
        <v>52</v>
      </c>
      <c r="H19" t="s">
        <v>52</v>
      </c>
      <c r="I19" s="6">
        <v>200</v>
      </c>
      <c r="J19" s="3">
        <f t="shared" si="0"/>
        <v>5.6338028169014086E-2</v>
      </c>
      <c r="K19" t="s">
        <v>28</v>
      </c>
      <c r="L19" s="6">
        <v>200</v>
      </c>
      <c r="M19" s="13">
        <f t="shared" si="1"/>
        <v>5.6338028169014086E-2</v>
      </c>
    </row>
    <row r="20" spans="1:13" x14ac:dyDescent="0.25">
      <c r="A20" s="2">
        <v>2026</v>
      </c>
      <c r="B20" s="2">
        <v>8</v>
      </c>
      <c r="C20" s="2" t="s">
        <v>16</v>
      </c>
      <c r="D20" t="s">
        <v>3</v>
      </c>
      <c r="E20" t="s">
        <v>53</v>
      </c>
      <c r="F20" t="s">
        <v>54</v>
      </c>
      <c r="G20" t="s">
        <v>54</v>
      </c>
      <c r="H20" t="s">
        <v>54</v>
      </c>
      <c r="I20" s="6">
        <v>200</v>
      </c>
      <c r="J20" s="3">
        <f t="shared" si="0"/>
        <v>5.6338028169014086E-2</v>
      </c>
      <c r="K20" t="s">
        <v>55</v>
      </c>
      <c r="L20" s="6">
        <v>200</v>
      </c>
      <c r="M20" s="13">
        <f t="shared" si="1"/>
        <v>5.6338028169014086E-2</v>
      </c>
    </row>
    <row r="21" spans="1:13" x14ac:dyDescent="0.25">
      <c r="A21" s="2">
        <v>2026</v>
      </c>
      <c r="B21" s="2">
        <v>8</v>
      </c>
      <c r="C21" s="2" t="s">
        <v>19</v>
      </c>
      <c r="D21" t="s">
        <v>3</v>
      </c>
      <c r="E21" t="s">
        <v>53</v>
      </c>
      <c r="F21" t="s">
        <v>54</v>
      </c>
      <c r="G21" t="s">
        <v>54</v>
      </c>
      <c r="H21" t="s">
        <v>54</v>
      </c>
      <c r="I21" s="6">
        <v>200</v>
      </c>
      <c r="J21" s="3">
        <f t="shared" si="0"/>
        <v>5.6338028169014086E-2</v>
      </c>
      <c r="K21" t="s">
        <v>28</v>
      </c>
      <c r="L21" s="6">
        <v>200</v>
      </c>
      <c r="M21" s="13">
        <f t="shared" si="1"/>
        <v>5.6338028169014086E-2</v>
      </c>
    </row>
    <row r="32" spans="1:13" x14ac:dyDescent="0.25">
      <c r="I32" s="7"/>
      <c r="J32" s="1"/>
      <c r="L32" s="7"/>
      <c r="M32" s="14"/>
    </row>
    <row r="33" spans="9:13" x14ac:dyDescent="0.25">
      <c r="I33" s="8">
        <f>SUM(I3:I32)</f>
        <v>3550</v>
      </c>
      <c r="J33" s="9">
        <f>SUM(J3:J32)</f>
        <v>1.0000000000000002</v>
      </c>
      <c r="L33" s="8">
        <f>SUM(L3:L32)</f>
        <v>3550</v>
      </c>
      <c r="M33" s="15">
        <f>SUM(M3:M32)</f>
        <v>1.0000000000000002</v>
      </c>
    </row>
  </sheetData>
  <autoFilter ref="A2:N2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B70A3-CC23-455E-9249-F20339EB3E76}">
  <dimension ref="B2:B7"/>
  <sheetViews>
    <sheetView workbookViewId="0">
      <selection activeCell="B3" sqref="B3"/>
    </sheetView>
  </sheetViews>
  <sheetFormatPr defaultRowHeight="15" x14ac:dyDescent="0.25"/>
  <cols>
    <col min="2" max="2" width="92.140625" style="11" customWidth="1"/>
  </cols>
  <sheetData>
    <row r="2" spans="2:2" ht="44.25" customHeight="1" x14ac:dyDescent="0.25">
      <c r="B2" s="12" t="s">
        <v>61</v>
      </c>
    </row>
    <row r="3" spans="2:2" ht="83.25" customHeight="1" x14ac:dyDescent="0.25">
      <c r="B3" s="10" t="s">
        <v>56</v>
      </c>
    </row>
    <row r="4" spans="2:2" ht="72.75" customHeight="1" x14ac:dyDescent="0.25">
      <c r="B4" s="10" t="s">
        <v>57</v>
      </c>
    </row>
    <row r="5" spans="2:2" ht="99.75" customHeight="1" x14ac:dyDescent="0.25">
      <c r="B5" s="10" t="s">
        <v>58</v>
      </c>
    </row>
    <row r="6" spans="2:2" ht="69" customHeight="1" x14ac:dyDescent="0.25">
      <c r="B6" s="10" t="s">
        <v>59</v>
      </c>
    </row>
    <row r="7" spans="2:2" ht="112.5" customHeight="1" x14ac:dyDescent="0.25">
      <c r="B7" s="10" t="s">
        <v>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Brasile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</cp:lastModifiedBy>
  <dcterms:created xsi:type="dcterms:W3CDTF">2026-09-16T16:48:24Z</dcterms:created>
  <dcterms:modified xsi:type="dcterms:W3CDTF">2026-09-19T07:23:38Z</dcterms:modified>
</cp:coreProperties>
</file>